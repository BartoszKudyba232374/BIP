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oszkudyba/BUAS/Y3/other/BIP/"/>
    </mc:Choice>
  </mc:AlternateContent>
  <xr:revisionPtr revIDLastSave="0" documentId="13_ncr:1_{E3E98D73-8139-134D-8B58-4EF7895E9BA2}" xr6:coauthVersionLast="47" xr6:coauthVersionMax="47" xr10:uidLastSave="{00000000-0000-0000-0000-000000000000}"/>
  <bookViews>
    <workbookView xWindow="10320" yWindow="660" windowWidth="10000" windowHeight="18980" xr2:uid="{52453FAD-A63E-514E-91C5-61F5DF62C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E5" i="1"/>
  <c r="E7" i="1" s="1"/>
  <c r="E10" i="1" l="1"/>
  <c r="E11" i="1" s="1"/>
  <c r="E13" i="1" s="1"/>
  <c r="E12" i="1" l="1"/>
</calcChain>
</file>

<file path=xl/sharedStrings.xml><?xml version="1.0" encoding="utf-8"?>
<sst xmlns="http://schemas.openxmlformats.org/spreadsheetml/2006/main" count="13" uniqueCount="13">
  <si>
    <t xml:space="preserve">Base: </t>
  </si>
  <si>
    <t>Travel(sus):</t>
  </si>
  <si>
    <t>Sum</t>
  </si>
  <si>
    <t>Product</t>
  </si>
  <si>
    <t>Value</t>
  </si>
  <si>
    <t>Train</t>
  </si>
  <si>
    <t>Accomodation</t>
  </si>
  <si>
    <t>Expences:</t>
  </si>
  <si>
    <t>Remain</t>
  </si>
  <si>
    <t>Daily (5)</t>
  </si>
  <si>
    <t>Daily (7)</t>
  </si>
  <si>
    <t>Accomodation per day</t>
  </si>
  <si>
    <t>Public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</si>
</sst>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1">
    <dxf>
      <numFmt numFmtId="164" formatCode="_([$€-2]\ * #,##0.00_);_([$€-2]\ * \(#,##0.00\);_([$€-2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1675F-AE63-B346-B2A0-20FDC6D7D6FD}" name="Table1" displayName="Table1" ref="G8:H12" totalsRowShown="0">
  <autoFilter ref="G8:H12" xr:uid="{54F1675F-AE63-B346-B2A0-20FDC6D7D6FD}"/>
  <tableColumns count="2">
    <tableColumn id="1" xr3:uid="{30A3EC4A-3693-7148-B498-3E38630D3DFE}" name="Product"/>
    <tableColumn id="2" xr3:uid="{274E708D-11CF-5A44-ADF4-553C11195355}" name="Valu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B29C-AA12-5C4A-A4A7-4376E84EDA07}">
  <dimension ref="D4:H13"/>
  <sheetViews>
    <sheetView tabSelected="1" topLeftCell="C1" workbookViewId="0">
      <selection activeCell="G16" sqref="G16"/>
    </sheetView>
  </sheetViews>
  <sheetFormatPr baseColWidth="10" defaultRowHeight="16" x14ac:dyDescent="0.2"/>
  <cols>
    <col min="7" max="7" width="19.1640625" bestFit="1" customWidth="1"/>
  </cols>
  <sheetData>
    <row r="4" spans="4:8" x14ac:dyDescent="0.2">
      <c r="G4" t="s">
        <v>11</v>
      </c>
      <c r="H4" s="1">
        <f>H10/6</f>
        <v>47.050000000000004</v>
      </c>
    </row>
    <row r="5" spans="4:8" x14ac:dyDescent="0.2">
      <c r="D5" t="s">
        <v>0</v>
      </c>
      <c r="E5" s="1">
        <f>79*7</f>
        <v>553</v>
      </c>
    </row>
    <row r="6" spans="4:8" x14ac:dyDescent="0.2">
      <c r="D6" t="s">
        <v>1</v>
      </c>
      <c r="E6" s="1">
        <v>417</v>
      </c>
    </row>
    <row r="7" spans="4:8" x14ac:dyDescent="0.2">
      <c r="D7" t="s">
        <v>2</v>
      </c>
      <c r="E7" s="1">
        <f>E5+E6</f>
        <v>970</v>
      </c>
    </row>
    <row r="8" spans="4:8" x14ac:dyDescent="0.2">
      <c r="E8" s="1"/>
      <c r="G8" t="s">
        <v>3</v>
      </c>
      <c r="H8" t="s">
        <v>4</v>
      </c>
    </row>
    <row r="9" spans="4:8" x14ac:dyDescent="0.2">
      <c r="E9" s="1"/>
      <c r="G9" t="s">
        <v>5</v>
      </c>
      <c r="H9" s="2">
        <v>117.71</v>
      </c>
    </row>
    <row r="10" spans="4:8" x14ac:dyDescent="0.2">
      <c r="D10" t="s">
        <v>7</v>
      </c>
      <c r="E10" s="1">
        <f>SUM(Table1[Value])</f>
        <v>451.01</v>
      </c>
      <c r="G10" t="s">
        <v>6</v>
      </c>
      <c r="H10" s="2">
        <v>282.3</v>
      </c>
    </row>
    <row r="11" spans="4:8" x14ac:dyDescent="0.2">
      <c r="D11" t="s">
        <v>8</v>
      </c>
      <c r="E11" s="1">
        <f>E7-E10</f>
        <v>518.99</v>
      </c>
      <c r="G11" t="s">
        <v>12</v>
      </c>
      <c r="H11" s="2">
        <v>51</v>
      </c>
    </row>
    <row r="12" spans="4:8" x14ac:dyDescent="0.2">
      <c r="D12" t="s">
        <v>9</v>
      </c>
      <c r="E12" s="1">
        <f>E11/5</f>
        <v>103.798</v>
      </c>
      <c r="H12" s="2"/>
    </row>
    <row r="13" spans="4:8" x14ac:dyDescent="0.2">
      <c r="D13" t="s">
        <v>10</v>
      </c>
      <c r="E13" s="1">
        <f>E11/7</f>
        <v>74.141428571428577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Kudyba, Bartosz (232374)</dc:creator>
  <cp:lastModifiedBy>Kudyba, Bartosz (232374)</cp:lastModifiedBy>
  <dcterms:created xsi:type="dcterms:W3CDTF">2026-04-27T13:23:34Z</dcterms:created>
  <dcterms:modified xsi:type="dcterms:W3CDTF">2026-05-09T10:47:05Z</dcterms:modified>
</cp:coreProperties>
</file>